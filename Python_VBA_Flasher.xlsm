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yanPartov\Desktop\"/>
    </mc:Choice>
  </mc:AlternateContent>
  <xr:revisionPtr revIDLastSave="0" documentId="13_ncr:1_{3149F22A-2D0E-4FBD-9FA4-7B7F801D240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lash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9" i="1"/>
  <c r="D18" i="1"/>
</calcChain>
</file>

<file path=xl/sharedStrings.xml><?xml version="1.0" encoding="utf-8"?>
<sst xmlns="http://schemas.openxmlformats.org/spreadsheetml/2006/main" count="29" uniqueCount="29">
  <si>
    <t>Componesnts</t>
  </si>
  <si>
    <t>Fraction</t>
  </si>
  <si>
    <t>Gas Composition</t>
  </si>
  <si>
    <t>Liquid Compoistion</t>
  </si>
  <si>
    <t>C1</t>
  </si>
  <si>
    <t>C2</t>
  </si>
  <si>
    <t>C3</t>
  </si>
  <si>
    <t>Pressure (Psi)</t>
  </si>
  <si>
    <t>C4</t>
  </si>
  <si>
    <t>C5</t>
  </si>
  <si>
    <t>C6</t>
  </si>
  <si>
    <t>Temperature (F)</t>
  </si>
  <si>
    <t>N2</t>
  </si>
  <si>
    <t>CO2</t>
  </si>
  <si>
    <t>H2S</t>
  </si>
  <si>
    <t>Total</t>
  </si>
  <si>
    <t>Inputs</t>
  </si>
  <si>
    <t>Outputs</t>
  </si>
  <si>
    <t>VF(Vapor Fraction )</t>
  </si>
  <si>
    <t>P &amp; T</t>
  </si>
  <si>
    <t>C7+</t>
  </si>
  <si>
    <t>C7+ Propertises</t>
  </si>
  <si>
    <t>Molecular Weight</t>
  </si>
  <si>
    <t>Specific Gravity</t>
  </si>
  <si>
    <t>Omega</t>
  </si>
  <si>
    <t xml:space="preserve">Flasher version 1.0,                                                Programmer: Jamil Zarei                                               MSc in Petroleum Engineering                                       Jamil Zarei@gmail.com </t>
  </si>
  <si>
    <t>Ppc (MPa)</t>
  </si>
  <si>
    <t>Tpc (K)</t>
  </si>
  <si>
    <t>*Omega Can be calculated using Tb,Tpc,Tpc,SG using Kesler_Lee corroleation, FMI read Ali Danesh PVT 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</si>
</sst>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9" borderId="8" xfId="0" applyFill="1" applyBorder="1" applyAlignment="1" applyProtection="1">
      <alignment horizontal="center" vertical="center"/>
      <protection locked="0"/>
    </xf>
    <xf numFmtId="0" fontId="0" fillId="9" borderId="22" xfId="0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7" borderId="9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7" borderId="10" xfId="0" applyFill="1" applyBorder="1" applyProtection="1">
      <protection locked="0"/>
    </xf>
    <xf numFmtId="0" fontId="0" fillId="7" borderId="11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3" fillId="4" borderId="15" xfId="0" applyFont="1" applyFill="1" applyBorder="1" applyAlignment="1" applyProtection="1">
      <alignment horizontal="center" vertical="center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0" fillId="8" borderId="8" xfId="0" applyFill="1" applyBorder="1" applyAlignment="1" applyProtection="1">
      <alignment horizontal="center" vertical="center"/>
      <protection locked="0"/>
    </xf>
    <xf numFmtId="0" fontId="0" fillId="8" borderId="22" xfId="0" applyFill="1" applyBorder="1" applyAlignment="1" applyProtection="1">
      <alignment horizontal="center" vertical="center"/>
      <protection locked="0"/>
    </xf>
    <xf numFmtId="0" fontId="2" fillId="6" borderId="9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274320</xdr:colOff>
      <xdr:row>21</xdr:row>
      <xdr:rowOff>7620</xdr:rowOff>
    </xdr:from>
    <xdr:to>
      <xdr:col>6</xdr:col>
      <xdr:colOff>861060</xdr:colOff>
      <xdr:row>26</xdr:row>
      <xdr:rowOff>0</xdr:rowOff>
    </xdr:to>
    <xdr:sp macro="[0]!RunPythonScri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7F569F-1D57-B259-849F-92ECC6E3DA42}"/>
            </a:ext>
          </a:extLst>
        </xdr:cNvPr>
        <xdr:cNvSpPr/>
      </xdr:nvSpPr>
      <xdr:spPr>
        <a:xfrm>
          <a:off x="1493520" y="3863340"/>
          <a:ext cx="4343400" cy="90678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 i="0" u="sng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Flash</a:t>
          </a:r>
          <a:r>
            <a:rPr lang="en-US" sz="4000" b="1" i="0" u="sng" cap="none" spc="0" baseline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 it!</a:t>
          </a:r>
          <a:endParaRPr lang="en-US" sz="4000" b="1" i="0" u="sng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K27"/>
  <sheetViews>
    <sheetView showGridLines="0" tabSelected="1" workbookViewId="0">
      <selection activeCell="H11" sqref="H11"/>
    </sheetView>
  </sheetViews>
  <sheetFormatPr defaultRowHeight="14.4" x14ac:dyDescent="0.3"/>
  <cols>
    <col min="3" max="3" width="15.5546875" bestFit="1" customWidth="1"/>
    <col min="4" max="4" width="7.6640625" bestFit="1" customWidth="1"/>
    <col min="5" max="5" width="18.77734375" customWidth="1"/>
    <col min="6" max="6" width="16.21875" bestFit="1" customWidth="1"/>
    <col min="7" max="7" width="16.6640625" bestFit="1" customWidth="1"/>
    <col min="8" max="8" width="16.88671875" bestFit="1" customWidth="1"/>
  </cols>
  <sheetData>
    <row r="1" spans="3:11" ht="21.6" thickBot="1" x14ac:dyDescent="0.35">
      <c r="C1" s="26" t="s">
        <v>16</v>
      </c>
      <c r="D1" s="27"/>
      <c r="E1" s="28"/>
      <c r="F1" s="29" t="s">
        <v>17</v>
      </c>
      <c r="G1" s="30"/>
      <c r="H1" s="31"/>
      <c r="I1" s="7"/>
      <c r="J1" s="7"/>
      <c r="K1" s="7"/>
    </row>
    <row r="2" spans="3:11" x14ac:dyDescent="0.3">
      <c r="C2" s="8" t="s">
        <v>0</v>
      </c>
      <c r="D2" s="9" t="s">
        <v>1</v>
      </c>
      <c r="E2" s="9" t="s">
        <v>19</v>
      </c>
      <c r="F2" s="9" t="s">
        <v>2</v>
      </c>
      <c r="G2" s="10" t="s">
        <v>3</v>
      </c>
      <c r="H2" s="11" t="s">
        <v>18</v>
      </c>
      <c r="I2" s="7"/>
      <c r="J2" s="7"/>
      <c r="K2" s="7"/>
    </row>
    <row r="3" spans="3:11" ht="15" thickBot="1" x14ac:dyDescent="0.35">
      <c r="C3" s="12" t="s">
        <v>12</v>
      </c>
      <c r="D3" s="1">
        <v>0.02</v>
      </c>
      <c r="E3" s="1"/>
      <c r="F3" s="1">
        <v>2.6686260996616279E-2</v>
      </c>
      <c r="G3" s="13">
        <v>6.1753863914277771E-3</v>
      </c>
      <c r="H3" s="14">
        <v>0.67401385239199396</v>
      </c>
      <c r="I3" s="7"/>
      <c r="J3" s="7"/>
      <c r="K3" s="7"/>
    </row>
    <row r="4" spans="3:11" x14ac:dyDescent="0.3">
      <c r="C4" s="12" t="s">
        <v>13</v>
      </c>
      <c r="D4" s="1">
        <v>0.03</v>
      </c>
      <c r="E4" s="1"/>
      <c r="F4" s="1">
        <v>3.4602189174355522E-2</v>
      </c>
      <c r="G4" s="13">
        <v>2.0484444576540303E-2</v>
      </c>
      <c r="H4" s="7"/>
      <c r="I4" s="7"/>
      <c r="J4" s="7"/>
      <c r="K4" s="7"/>
    </row>
    <row r="5" spans="3:11" x14ac:dyDescent="0.3">
      <c r="C5" s="12" t="s">
        <v>14</v>
      </c>
      <c r="D5" s="1">
        <v>0.02</v>
      </c>
      <c r="E5" s="2" t="s">
        <v>7</v>
      </c>
      <c r="F5" s="1">
        <v>2.0895759325768565E-2</v>
      </c>
      <c r="G5" s="13">
        <v>1.8147914571194204E-2</v>
      </c>
      <c r="H5" s="7"/>
      <c r="I5" s="7"/>
      <c r="J5" s="7"/>
      <c r="K5" s="7"/>
    </row>
    <row r="6" spans="3:11" x14ac:dyDescent="0.3">
      <c r="C6" s="12" t="s">
        <v>4</v>
      </c>
      <c r="D6" s="1">
        <v>0.45</v>
      </c>
      <c r="E6" s="2">
        <v>1200</v>
      </c>
      <c r="F6" s="1">
        <v>0.56924619524885456</v>
      </c>
      <c r="G6" s="13">
        <v>0.20344477661849453</v>
      </c>
      <c r="H6" s="7"/>
      <c r="I6" s="7"/>
      <c r="J6" s="7"/>
      <c r="K6" s="7"/>
    </row>
    <row r="7" spans="3:11" x14ac:dyDescent="0.3">
      <c r="C7" s="12" t="s">
        <v>5</v>
      </c>
      <c r="D7" s="1">
        <v>0.15</v>
      </c>
      <c r="E7" s="3"/>
      <c r="F7" s="1">
        <v>0.1668608199283243</v>
      </c>
      <c r="G7" s="13">
        <v>0.1151383156070695</v>
      </c>
      <c r="H7" s="7"/>
      <c r="I7" s="7"/>
      <c r="J7" s="7"/>
      <c r="K7" s="7"/>
    </row>
    <row r="8" spans="3:11" x14ac:dyDescent="0.3">
      <c r="C8" s="12" t="s">
        <v>6</v>
      </c>
      <c r="D8" s="1">
        <v>0.12</v>
      </c>
      <c r="E8" s="2" t="s">
        <v>11</v>
      </c>
      <c r="F8" s="1">
        <v>0.11587275836869373</v>
      </c>
      <c r="G8" s="13">
        <v>0.1285335467536935</v>
      </c>
      <c r="H8" s="7"/>
      <c r="I8" s="7"/>
      <c r="J8" s="7"/>
      <c r="K8" s="7"/>
    </row>
    <row r="9" spans="3:11" x14ac:dyDescent="0.3">
      <c r="C9" s="12" t="s">
        <v>8</v>
      </c>
      <c r="D9" s="1">
        <v>0.1</v>
      </c>
      <c r="E9" s="2">
        <v>240</v>
      </c>
      <c r="F9" s="1">
        <v>7.9856430481344692E-2</v>
      </c>
      <c r="G9" s="13">
        <v>0.14164914672546461</v>
      </c>
      <c r="H9" s="7"/>
      <c r="I9" s="7"/>
      <c r="J9" s="7"/>
      <c r="K9" s="7"/>
    </row>
    <row r="10" spans="3:11" x14ac:dyDescent="0.3">
      <c r="C10" s="12" t="s">
        <v>9</v>
      </c>
      <c r="D10" s="1">
        <v>0.05</v>
      </c>
      <c r="E10" s="1"/>
      <c r="F10" s="1">
        <v>3.1811752624089557E-2</v>
      </c>
      <c r="G10" s="13">
        <v>8.760629331046732E-2</v>
      </c>
      <c r="H10" s="7"/>
      <c r="I10" s="7"/>
      <c r="J10" s="7"/>
      <c r="K10" s="7"/>
    </row>
    <row r="11" spans="3:11" x14ac:dyDescent="0.3">
      <c r="C11" s="12" t="s">
        <v>10</v>
      </c>
      <c r="D11" s="1">
        <v>0.04</v>
      </c>
      <c r="E11" s="15"/>
      <c r="F11" s="1">
        <v>1.9559574211642155E-2</v>
      </c>
      <c r="G11" s="13">
        <v>8.2262931205011033E-2</v>
      </c>
      <c r="H11" s="7"/>
      <c r="I11" s="7"/>
      <c r="J11" s="7"/>
      <c r="K11" s="7"/>
    </row>
    <row r="12" spans="3:11" x14ac:dyDescent="0.3">
      <c r="C12" s="12" t="s">
        <v>20</v>
      </c>
      <c r="D12" s="1">
        <v>0.09</v>
      </c>
      <c r="E12" s="15"/>
      <c r="F12" s="1">
        <v>4.6082596403106153E-3</v>
      </c>
      <c r="G12" s="13">
        <v>0.26655724424063726</v>
      </c>
      <c r="H12" s="7"/>
      <c r="I12" s="7"/>
      <c r="J12" s="7"/>
      <c r="K12" s="7"/>
    </row>
    <row r="13" spans="3:11" ht="15" thickBot="1" x14ac:dyDescent="0.35">
      <c r="C13" s="16" t="s">
        <v>15</v>
      </c>
      <c r="D13" s="5">
        <f>SUM(D6:D12)</f>
        <v>1</v>
      </c>
      <c r="E13" s="1"/>
      <c r="F13" s="1"/>
      <c r="G13" s="13"/>
      <c r="H13" s="7"/>
      <c r="I13" s="7"/>
      <c r="J13" s="7"/>
      <c r="K13" s="7"/>
    </row>
    <row r="14" spans="3:11" ht="15" thickBot="1" x14ac:dyDescent="0.35">
      <c r="C14" s="17"/>
      <c r="D14" s="18"/>
      <c r="E14" s="1"/>
      <c r="F14" s="1"/>
      <c r="G14" s="13"/>
      <c r="H14" s="7"/>
      <c r="I14" s="7"/>
      <c r="J14" s="7"/>
      <c r="K14" s="7"/>
    </row>
    <row r="15" spans="3:11" x14ac:dyDescent="0.3">
      <c r="C15" s="32" t="s">
        <v>21</v>
      </c>
      <c r="D15" s="33"/>
      <c r="E15" s="15"/>
      <c r="F15" s="1"/>
      <c r="G15" s="13"/>
      <c r="H15" s="7"/>
      <c r="I15" s="7"/>
      <c r="J15" s="7"/>
      <c r="K15" s="7"/>
    </row>
    <row r="16" spans="3:11" x14ac:dyDescent="0.3">
      <c r="C16" s="12" t="s">
        <v>22</v>
      </c>
      <c r="D16" s="6">
        <v>240</v>
      </c>
      <c r="E16" s="15"/>
      <c r="F16" s="1"/>
      <c r="G16" s="13"/>
      <c r="H16" s="7"/>
      <c r="I16" s="7"/>
      <c r="J16" s="7"/>
      <c r="K16" s="7"/>
    </row>
    <row r="17" spans="3:11" x14ac:dyDescent="0.3">
      <c r="C17" s="12" t="s">
        <v>23</v>
      </c>
      <c r="D17" s="6">
        <v>0.84</v>
      </c>
      <c r="E17" s="15"/>
      <c r="F17" s="1"/>
      <c r="G17" s="13"/>
      <c r="H17" s="7"/>
      <c r="I17" s="7"/>
      <c r="J17" s="7"/>
      <c r="K17" s="7"/>
    </row>
    <row r="18" spans="3:11" x14ac:dyDescent="0.3">
      <c r="C18" s="12" t="s">
        <v>26</v>
      </c>
      <c r="D18" s="6">
        <f>(8.191-2.97*LOG(D16-61.11)+(D17-0.8)*(15.99-5.87*LOG(D16-53.7)))</f>
        <v>1.6073734113961202</v>
      </c>
      <c r="E18" s="1"/>
      <c r="F18" s="1"/>
      <c r="G18" s="13"/>
      <c r="H18" s="7"/>
      <c r="I18" s="7"/>
      <c r="J18" s="7"/>
      <c r="K18" s="7"/>
    </row>
    <row r="19" spans="3:11" x14ac:dyDescent="0.3">
      <c r="C19" s="12" t="s">
        <v>27</v>
      </c>
      <c r="D19" s="6">
        <f>338+202*LOG(D16-71.2)+(1361*LOG(D16)-2111)*LOG(D17)</f>
        <v>702.48086858885279</v>
      </c>
      <c r="E19" s="36" t="s">
        <v>28</v>
      </c>
      <c r="F19" s="37"/>
      <c r="G19" s="38"/>
      <c r="H19" s="7"/>
      <c r="I19" s="7"/>
      <c r="J19" s="7"/>
      <c r="K19" s="7"/>
    </row>
    <row r="20" spans="3:11" ht="15" customHeight="1" thickBot="1" x14ac:dyDescent="0.35">
      <c r="C20" s="19" t="s">
        <v>24</v>
      </c>
      <c r="D20" s="4">
        <v>0.48080000000000001</v>
      </c>
      <c r="E20" s="39"/>
      <c r="F20" s="40"/>
      <c r="G20" s="41"/>
      <c r="H20" s="7"/>
      <c r="I20" s="7"/>
      <c r="J20" s="7"/>
      <c r="K20" s="7"/>
    </row>
    <row r="21" spans="3:11" x14ac:dyDescent="0.3">
      <c r="C21" s="20"/>
      <c r="D21" s="21"/>
      <c r="E21" s="21"/>
      <c r="F21" s="21"/>
      <c r="G21" s="22"/>
      <c r="H21" s="34" t="s">
        <v>25</v>
      </c>
      <c r="I21" s="35"/>
      <c r="J21" s="35"/>
      <c r="K21" s="35"/>
    </row>
    <row r="22" spans="3:11" x14ac:dyDescent="0.3">
      <c r="C22" s="20"/>
      <c r="D22" s="21"/>
      <c r="E22" s="21"/>
      <c r="F22" s="21"/>
      <c r="G22" s="22"/>
      <c r="H22" s="34"/>
      <c r="I22" s="35"/>
      <c r="J22" s="35"/>
      <c r="K22" s="35"/>
    </row>
    <row r="23" spans="3:11" x14ac:dyDescent="0.3">
      <c r="C23" s="20"/>
      <c r="D23" s="21"/>
      <c r="E23" s="21"/>
      <c r="F23" s="21"/>
      <c r="G23" s="22"/>
      <c r="H23" s="34"/>
      <c r="I23" s="35"/>
      <c r="J23" s="35"/>
      <c r="K23" s="35"/>
    </row>
    <row r="24" spans="3:11" x14ac:dyDescent="0.3">
      <c r="C24" s="20"/>
      <c r="D24" s="21"/>
      <c r="E24" s="21"/>
      <c r="F24" s="21"/>
      <c r="G24" s="22"/>
      <c r="H24" s="34"/>
      <c r="I24" s="35"/>
      <c r="J24" s="35"/>
      <c r="K24" s="35"/>
    </row>
    <row r="25" spans="3:11" x14ac:dyDescent="0.3">
      <c r="C25" s="20"/>
      <c r="D25" s="21"/>
      <c r="E25" s="21"/>
      <c r="F25" s="21"/>
      <c r="G25" s="22"/>
      <c r="H25" s="34"/>
      <c r="I25" s="35"/>
      <c r="J25" s="35"/>
      <c r="K25" s="35"/>
    </row>
    <row r="26" spans="3:11" x14ac:dyDescent="0.3">
      <c r="C26" s="20"/>
      <c r="D26" s="21"/>
      <c r="E26" s="21"/>
      <c r="F26" s="21"/>
      <c r="G26" s="22"/>
      <c r="H26" s="34"/>
      <c r="I26" s="35"/>
      <c r="J26" s="35"/>
      <c r="K26" s="35"/>
    </row>
    <row r="27" spans="3:11" ht="15" thickBot="1" x14ac:dyDescent="0.35">
      <c r="C27" s="23"/>
      <c r="D27" s="24"/>
      <c r="E27" s="24"/>
      <c r="F27" s="24"/>
      <c r="G27" s="25"/>
      <c r="H27" s="34"/>
      <c r="I27" s="35"/>
      <c r="J27" s="35"/>
      <c r="K27" s="35"/>
    </row>
  </sheetData>
  <sheetProtection algorithmName="SHA-512" hashValue="J7L1vGx3Ph1zcqavui46CXvtDl5wCXHbm1jlloLBso/+jW4i+SB9OnP+tOYbPaXXuOMuWsx2iybP4k4LMx5nkQ==" saltValue="rca1SNSoKZesCmVrfWFMnA==" spinCount="100000" sheet="1" scenarios="1" selectLockedCells="1"/>
  <mergeCells count="5">
    <mergeCell ref="C1:E1"/>
    <mergeCell ref="F1:H1"/>
    <mergeCell ref="C15:D15"/>
    <mergeCell ref="H21:K27"/>
    <mergeCell ref="E19:G2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Flasher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jamil zarei</dc:creator>
  <cp:lastModifiedBy>jamil zarei</cp:lastModifiedBy>
  <dcterms:created xsi:type="dcterms:W3CDTF">2023-12-08T18:28:57Z</dcterms:created>
  <dcterms:modified xsi:type="dcterms:W3CDTF">2023-12-10T10:57:57Z</dcterms:modified>
</cp:coreProperties>
</file>